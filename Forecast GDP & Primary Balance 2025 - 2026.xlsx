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tri/Downloads/"/>
    </mc:Choice>
  </mc:AlternateContent>
  <xr:revisionPtr revIDLastSave="0" documentId="13_ncr:1_{EE8B9BD7-0871-F44C-A71E-8AEEB5B0E805}" xr6:coauthVersionLast="47" xr6:coauthVersionMax="47" xr10:uidLastSave="{00000000-0000-0000-0000-000000000000}"/>
  <bookViews>
    <workbookView xWindow="0" yWindow="0" windowWidth="28800" windowHeight="18000" xr2:uid="{684CC3B6-E061-7340-AAAC-A687B419E825}"/>
  </bookViews>
  <sheets>
    <sheet name="Data" sheetId="1" r:id="rId1"/>
    <sheet name="Targeted P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O11" i="1"/>
  <c r="M11" i="1"/>
  <c r="M7" i="1" s="1"/>
  <c r="Q10" i="1"/>
  <c r="Q6" i="1" s="1"/>
  <c r="O10" i="1"/>
  <c r="O6" i="1" s="1"/>
  <c r="M10" i="1"/>
  <c r="M6" i="1" s="1"/>
  <c r="Q9" i="1"/>
  <c r="O9" i="1"/>
  <c r="O5" i="1" s="1"/>
  <c r="M9" i="1"/>
  <c r="Q8" i="1"/>
  <c r="O8" i="1"/>
  <c r="M8" i="1"/>
  <c r="Q7" i="1"/>
  <c r="O7" i="1"/>
  <c r="Q5" i="1"/>
  <c r="M5" i="1"/>
  <c r="D11" i="1"/>
  <c r="D7" i="1"/>
  <c r="D10" i="1"/>
  <c r="D6" i="1" s="1"/>
  <c r="D9" i="1"/>
  <c r="D5" i="1" s="1"/>
  <c r="D8" i="1"/>
  <c r="D8" i="2"/>
  <c r="D7" i="2"/>
  <c r="H8" i="1"/>
  <c r="H9" i="1"/>
  <c r="H5" i="1" s="1"/>
  <c r="H10" i="1"/>
  <c r="H6" i="1" s="1"/>
  <c r="H11" i="1"/>
  <c r="H7" i="1" s="1"/>
  <c r="F8" i="1"/>
  <c r="F9" i="1"/>
  <c r="F5" i="1" s="1"/>
  <c r="F10" i="1"/>
  <c r="F6" i="1" s="1"/>
  <c r="F11" i="1"/>
  <c r="F7" i="1" s="1"/>
</calcChain>
</file>

<file path=xl/sharedStrings.xml><?xml version="1.0" encoding="utf-8"?>
<sst xmlns="http://schemas.openxmlformats.org/spreadsheetml/2006/main" count="184" uniqueCount="58">
  <si>
    <t>Brazil</t>
  </si>
  <si>
    <t>Canada</t>
  </si>
  <si>
    <t>Mexico</t>
  </si>
  <si>
    <t>Q4</t>
  </si>
  <si>
    <t>Real GDP Brazil</t>
  </si>
  <si>
    <t>-</t>
  </si>
  <si>
    <t>%</t>
  </si>
  <si>
    <t>Real GDP</t>
  </si>
  <si>
    <t>Forecast GDP Q2 2025 - Q4 2026</t>
  </si>
  <si>
    <t>Primary Balance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</si>
  <si>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</si>
  <si>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</si>
  <si>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</si>
  <si>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</si>
  <si>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</si>
  <si>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</si>
  <si>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</si>
  <si>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</si>
  <si>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</si>
  <si>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</si>
  <si>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</si>
  <si>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</si>
  <si>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Primary Balance (Holt Winters Exponential Smoothing Forecast)</t>
  </si>
  <si>
    <t>Primary Balance (ARIMA Forecast)</t>
  </si>
  <si>
    <t>Pattern</t>
  </si>
  <si>
    <t>Kuartal</t>
  </si>
  <si>
    <t>Rata-Rata</t>
  </si>
  <si>
    <t>Fluktuasi (Std)</t>
  </si>
  <si>
    <t>Q1</t>
  </si>
  <si>
    <t>Q2</t>
  </si>
  <si>
    <t>Q3</t>
  </si>
  <si>
    <t>Defisit</t>
  </si>
  <si>
    <t>Surplus, Fluktuasi Tinggi</t>
  </si>
  <si>
    <t>Defisit, Fluktuasi Tinggi</t>
  </si>
  <si>
    <t>Surplus, Stabil</t>
  </si>
  <si>
    <t>Defisit, Stabil</t>
  </si>
  <si>
    <t>Pattern Primary Balance Per Quarter (1996-2025)</t>
  </si>
  <si>
    <t>Source (2026)</t>
  </si>
  <si>
    <t>https://www150.statcan.gc.ca/n1/daily-quotidien/250627/dq250627c-eng.htm</t>
  </si>
  <si>
    <t>https://www.itau.com.br/itaubba-pt/analises-economicas/latam/mexico-2026-preliminary-economic-policy-guidelines-fiscal-consolidation-with-high-debt-in-uncertain-times</t>
  </si>
  <si>
    <t>Mexico’s 2025 budget and fiscal policy targets a primary surplus of 0.6% of GDP. With an official GDP forecast ~32 trillion pesos, this equals ~MXN 192 billion (0.6/100 × 32,000 = 192).</t>
  </si>
  <si>
    <t xml:space="preserve">https://mexicobusiness.news/finance/news/mexicos-2025-budget-mx9-trillion-targets-deficit-cut </t>
  </si>
  <si>
    <t>The 2026 preliminary budget and economic policy guidelines set a target primary surplus of 0.5% of GDP, or ~MXN 160 billion (0.5/100 × 32,000 = 160).</t>
  </si>
  <si>
    <t>The 2026 draft budget submitted August 2025 publicly projects a primary surplus of R$34.5 billion.</t>
  </si>
  <si>
    <t>https://money.usnews.com/investing/news/articles/2025-08-29/brazils-2026-budget-bill-projects-primary-surplus-of-0-25-of-gdp</t>
  </si>
  <si>
    <t xml:space="preserve">https://www.riotimesonline.com/brazils-2026-budget-targets-paper-surplus-reveals-underlying-gap/ </t>
  </si>
  <si>
    <t>https://www.bloomberg.com/news/articles/2025-08-29/brazil-is-doubling-down-on-a-budget-surplus-that-nobody-believes</t>
  </si>
  <si>
    <t>The 2025 fiscal target set by Brazil’s government aims for a primary balance of zero (break-even).</t>
  </si>
  <si>
    <t xml:space="preserve">https://www.pbo-dpb.ca/en/publications/RP-2526-003-S--government-expenditure-plan-main-estimates-2025-26--plan-depenses-gouvernement-budget-principal-depenses-2025-2026 </t>
  </si>
  <si>
    <t xml:space="preserve">https://www.rbc.com/en/thought-leadership/economics/featured-insights/hey-big-spender-canadas-federal-and-provincial-spending-an-upside-to-growth-forecasts/ </t>
  </si>
  <si>
    <t>Targeted Primary Budget  2025</t>
  </si>
  <si>
    <t>Targeted Primary Budget  2026</t>
  </si>
  <si>
    <t>1) fokus sama pertanyaan TOR nya</t>
  </si>
  <si>
    <t>2) penyajiannya bikin di power point dulu</t>
  </si>
  <si>
    <t>3) 2023 (Q1) 2026 (Q4) -&gt; prospect canada arahnya</t>
  </si>
  <si>
    <t>cara ngitung balikin ke QoQ biasa (Q2 banding Q1 gimana krn gak di annualized)</t>
  </si>
  <si>
    <t>Real GDP Canada</t>
  </si>
  <si>
    <t>Real GDP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</si>
</sst>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/d/yyyy;@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b/>
      <u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center"/>
    </xf>
    <xf numFmtId="167" fontId="0" fillId="0" borderId="0" xfId="1" applyNumberFormat="1" applyFont="1"/>
    <xf numFmtId="167" fontId="0" fillId="0" borderId="0" xfId="1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43" fontId="0" fillId="0" borderId="0" xfId="1" applyFont="1"/>
    <xf numFmtId="2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2"/>
    <xf numFmtId="0" fontId="5" fillId="0" borderId="0" xfId="0" applyFont="1" applyAlignment="1">
      <alignment horizontal="left"/>
    </xf>
    <xf numFmtId="0" fontId="7" fillId="0" borderId="0" xfId="0" applyFont="1"/>
    <xf numFmtId="43" fontId="7" fillId="0" borderId="0" xfId="1" applyFont="1"/>
    <xf numFmtId="43" fontId="7" fillId="0" borderId="0" xfId="1" applyFont="1" applyBorder="1"/>
    <xf numFmtId="164" fontId="4" fillId="3" borderId="0" xfId="0" applyNumberFormat="1" applyFont="1" applyFill="1" applyAlignment="1">
      <alignment horizontal="center"/>
    </xf>
    <xf numFmtId="168" fontId="3" fillId="3" borderId="0" xfId="0" applyNumberFormat="1" applyFont="1" applyFill="1" applyAlignment="1">
      <alignment horizontal="center"/>
    </xf>
    <xf numFmtId="0" fontId="8" fillId="0" borderId="0" xfId="0" applyFont="1"/>
    <xf numFmtId="43" fontId="0" fillId="0" borderId="0" xfId="1" applyNumberFormat="1" applyFont="1" applyAlignment="1">
      <alignment horizontal="center"/>
    </xf>
    <xf numFmtId="43" fontId="0" fillId="0" borderId="0" xfId="1" applyNumberFormat="1" applyFont="1"/>
    <xf numFmtId="43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1012C"/>
      <color rgb="FFCB2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242455</xdr:colOff>
      <xdr:row>18</xdr:row>
      <xdr:rowOff>138546</xdr:rowOff>
    </xdr:from>
    <xdr:to>
      <xdr:col>10</xdr:col>
      <xdr:colOff>409348</xdr:colOff>
      <xdr:row>33</xdr:row>
      <xdr:rowOff>92364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82ED9-0DDE-C068-86E1-B477A0DCA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6316"/>
        <a:stretch/>
      </xdr:blipFill>
      <xdr:spPr>
        <a:xfrm>
          <a:off x="5022273" y="3879273"/>
          <a:ext cx="5980546" cy="307109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0</xdr:colOff>
      <xdr:row>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503DA3-FBC9-99F0-0A64-0CB1EB2F9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46182" y="4779818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46182</xdr:colOff>
      <xdr:row>19</xdr:row>
      <xdr:rowOff>0</xdr:rowOff>
    </xdr:from>
    <xdr:to>
      <xdr:col>13</xdr:col>
      <xdr:colOff>872118</xdr:colOff>
      <xdr:row>33</xdr:row>
      <xdr:rowOff>66694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0F7184-3588-F423-2C92-EF2E7F21C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699"/>
        <a:stretch/>
      </xdr:blipFill>
      <xdr:spPr>
        <a:xfrm>
          <a:off x="11129818" y="3948545"/>
          <a:ext cx="3265121" cy="2976149"/>
        </a:xfrm>
        <a:prstGeom prst="rect">
          <a:avLst/>
        </a:prstGeom>
      </xdr:spPr>
    </xdr:pic>
    <xdr:clientData/>
  </xdr:twoCellAnchor>
  <xdr:twoCellAnchor editAs="oneCell">
    <xdr:from>
      <xdr:col>5</xdr:col>
      <xdr:colOff>219363</xdr:colOff>
      <xdr:row>35</xdr:row>
      <xdr:rowOff>161637</xdr:rowOff>
    </xdr:from>
    <xdr:to>
      <xdr:col>10</xdr:col>
      <xdr:colOff>467073</xdr:colOff>
      <xdr:row>50</xdr:row>
      <xdr:rowOff>80818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56DA45-42EC-2F65-53B3-6C072C961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" r="29185"/>
        <a:stretch/>
      </xdr:blipFill>
      <xdr:spPr>
        <a:xfrm>
          <a:off x="4999181" y="7435273"/>
          <a:ext cx="6061363" cy="3036454"/>
        </a:xfrm>
        <a:prstGeom prst="rect">
          <a:avLst/>
        </a:prstGeom>
      </xdr:spPr>
    </xdr:pic>
    <xdr:clientData/>
  </xdr:twoCellAnchor>
  <xdr:twoCellAnchor editAs="oneCell">
    <xdr:from>
      <xdr:col>10</xdr:col>
      <xdr:colOff>738910</xdr:colOff>
      <xdr:row>35</xdr:row>
      <xdr:rowOff>184727</xdr:rowOff>
    </xdr:from>
    <xdr:to>
      <xdr:col>13</xdr:col>
      <xdr:colOff>575717</xdr:colOff>
      <xdr:row>50</xdr:row>
      <xdr:rowOff>69272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EBFB39-D6E4-034F-C735-46D01C2DC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8507"/>
        <a:stretch/>
      </xdr:blipFill>
      <xdr:spPr>
        <a:xfrm>
          <a:off x="10991274" y="7458363"/>
          <a:ext cx="3498271" cy="3001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50.statcan.gc.ca/n1/daily-quotidien/250627/dq250627c-eng.htm" TargetMode="External"/><Relationship Id="rId3" Type="http://schemas.openxmlformats.org/officeDocument/2006/relationships/hyperlink" Target="https://money.usnews.com/investing/news/articles/2025-08-29/brazils-2026-budget-bill-projects-primary-surplus-of-0-25-of-gdp" TargetMode="External"/><Relationship Id="rId7" Type="http://schemas.openxmlformats.org/officeDocument/2006/relationships/hyperlink" Target="https://www.rbc.com/en/thought-leadership/economics/featured-insights/hey-big-spender-canadas-federal-and-provincial-spending-an-upside-to-growth-forecasts/" TargetMode="External"/><Relationship Id="rId2" Type="http://schemas.openxmlformats.org/officeDocument/2006/relationships/hyperlink" Target="https://www.itau.com.br/itaubba-pt/analises-economicas/latam/mexico-2026-preliminary-economic-policy-guidelines-fiscal-consolidation-with-high-debt-in-uncertain-times" TargetMode="External"/><Relationship Id="rId1" Type="http://schemas.openxmlformats.org/officeDocument/2006/relationships/hyperlink" Target="https://mexicobusiness.news/finance/news/mexicos-2025-budget-mx9-trillion-targets-deficit-cut" TargetMode="External"/><Relationship Id="rId6" Type="http://schemas.openxmlformats.org/officeDocument/2006/relationships/hyperlink" Target="https://www.pbo-dpb.ca/en/publications/RP-2526-003-S--government-expenditure-plan-main-estimates-2025-26--plan-depenses-gouvernement-budget-principal-depenses-2025-2026" TargetMode="External"/><Relationship Id="rId5" Type="http://schemas.openxmlformats.org/officeDocument/2006/relationships/hyperlink" Target="https://www.bloomberg.com/news/articles/2025-08-29/brazil-is-doubling-down-on-a-budget-surplus-that-nobody-believes" TargetMode="External"/><Relationship Id="rId4" Type="http://schemas.openxmlformats.org/officeDocument/2006/relationships/hyperlink" Target="https://www.riotimesonline.com/brazils-2026-budget-targets-paper-surplus-reveals-underlying-g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CA16-5433-584C-94C3-7DE06AD296BD}">
  <dimension ref="A1:W62"/>
  <sheetViews>
    <sheetView showGridLines="0" tabSelected="1" zoomScale="111" workbookViewId="0">
      <selection activeCell="W14" sqref="W14:W21"/>
    </sheetView>
  </sheetViews>
  <sheetFormatPr baseColWidth="10" defaultRowHeight="16" x14ac:dyDescent="0.2"/>
  <cols>
    <col min="1" max="1" width="4.33203125" customWidth="1"/>
    <col min="3" max="4" width="18.1640625" customWidth="1"/>
    <col min="5" max="5" width="20.1640625" customWidth="1"/>
    <col min="6" max="6" width="15.1640625" customWidth="1"/>
    <col min="7" max="7" width="15.6640625" customWidth="1"/>
    <col min="8" max="8" width="16.6640625" customWidth="1"/>
    <col min="9" max="9" width="14.1640625" customWidth="1"/>
    <col min="10" max="10" width="14.33203125" customWidth="1"/>
    <col min="11" max="18" width="16" customWidth="1"/>
    <col min="23" max="23" width="3.5" customWidth="1"/>
  </cols>
  <sheetData>
    <row r="1" spans="2:23" x14ac:dyDescent="0.2">
      <c r="W1" s="13"/>
    </row>
    <row r="2" spans="2:23" x14ac:dyDescent="0.2">
      <c r="B2" s="4" t="s">
        <v>8</v>
      </c>
      <c r="E2" s="31" t="s">
        <v>55</v>
      </c>
      <c r="K2" s="4" t="s">
        <v>8</v>
      </c>
      <c r="W2" s="13"/>
    </row>
    <row r="3" spans="2:23" x14ac:dyDescent="0.2">
      <c r="B3" s="8"/>
      <c r="C3" s="9" t="s">
        <v>6</v>
      </c>
      <c r="D3" s="5" t="s">
        <v>7</v>
      </c>
      <c r="E3" s="9" t="s">
        <v>6</v>
      </c>
      <c r="F3" s="5" t="s">
        <v>7</v>
      </c>
      <c r="G3" s="9" t="s">
        <v>6</v>
      </c>
      <c r="H3" s="5" t="s">
        <v>7</v>
      </c>
      <c r="I3" s="8"/>
      <c r="K3" s="8"/>
      <c r="L3" s="9" t="s">
        <v>6</v>
      </c>
      <c r="M3" s="5" t="s">
        <v>7</v>
      </c>
      <c r="N3" s="9" t="s">
        <v>6</v>
      </c>
      <c r="O3" s="5" t="s">
        <v>7</v>
      </c>
      <c r="P3" s="9" t="s">
        <v>6</v>
      </c>
      <c r="Q3" s="5" t="s">
        <v>7</v>
      </c>
      <c r="R3" s="8"/>
      <c r="W3" s="13"/>
    </row>
    <row r="4" spans="2:23" x14ac:dyDescent="0.2">
      <c r="B4" s="6"/>
      <c r="C4" s="10" t="s">
        <v>4</v>
      </c>
      <c r="D4" s="6" t="s">
        <v>0</v>
      </c>
      <c r="E4" s="10" t="s">
        <v>56</v>
      </c>
      <c r="F4" s="6" t="s">
        <v>1</v>
      </c>
      <c r="G4" s="10" t="s">
        <v>57</v>
      </c>
      <c r="H4" s="6" t="s">
        <v>2</v>
      </c>
      <c r="I4" s="6"/>
      <c r="K4" s="6"/>
      <c r="L4" s="10" t="s">
        <v>4</v>
      </c>
      <c r="M4" s="6" t="s">
        <v>0</v>
      </c>
      <c r="N4" s="10" t="s">
        <v>56</v>
      </c>
      <c r="O4" s="6" t="s">
        <v>1</v>
      </c>
      <c r="P4" s="10" t="s">
        <v>57</v>
      </c>
      <c r="Q4" s="6" t="s">
        <v>2</v>
      </c>
      <c r="R4" s="6"/>
      <c r="W4" s="13"/>
    </row>
    <row r="5" spans="2:23" x14ac:dyDescent="0.2">
      <c r="B5" s="14" t="s">
        <v>21</v>
      </c>
      <c r="C5" s="30">
        <v>2</v>
      </c>
      <c r="D5" s="32">
        <f t="shared" ref="D5:F11" si="0">D9*(1+C5/100)</f>
        <v>3.7484796</v>
      </c>
      <c r="E5" s="30">
        <v>2</v>
      </c>
      <c r="F5" s="7">
        <f t="shared" si="0"/>
        <v>2118.0095999999999</v>
      </c>
      <c r="G5" s="9">
        <v>1.7</v>
      </c>
      <c r="H5" s="32">
        <f t="shared" ref="H5:H11" si="1">H9*(1+G5/100)</f>
        <v>0.41046119999999992</v>
      </c>
      <c r="K5" s="14" t="s">
        <v>21</v>
      </c>
      <c r="L5" s="30">
        <v>2</v>
      </c>
      <c r="M5" s="7">
        <f t="shared" ref="M5:M11" si="2">M9*(1+L5/100)</f>
        <v>350202.38156400004</v>
      </c>
      <c r="N5" s="30">
        <v>2</v>
      </c>
      <c r="O5" s="7">
        <f t="shared" ref="O5:O11" si="3">O9*(1+N5/100)</f>
        <v>627901.7330880001</v>
      </c>
      <c r="P5" s="9">
        <v>1.7</v>
      </c>
      <c r="Q5" s="7">
        <f t="shared" ref="Q5:Q11" si="4">Q9*(1+P5/100)</f>
        <v>6514316.9309852989</v>
      </c>
      <c r="W5" s="13"/>
    </row>
    <row r="6" spans="2:23" x14ac:dyDescent="0.2">
      <c r="B6" s="14" t="s">
        <v>20</v>
      </c>
      <c r="C6" s="9">
        <v>1.7</v>
      </c>
      <c r="D6" s="32">
        <f t="shared" si="0"/>
        <v>4.1971081499999983</v>
      </c>
      <c r="E6" s="30">
        <v>2</v>
      </c>
      <c r="F6" s="7">
        <f t="shared" si="0"/>
        <v>2463.1164000000003</v>
      </c>
      <c r="G6" s="9">
        <v>1.5</v>
      </c>
      <c r="H6" s="32">
        <f t="shared" si="1"/>
        <v>1.627248</v>
      </c>
      <c r="K6" s="14" t="s">
        <v>20</v>
      </c>
      <c r="L6" s="9">
        <v>1.7</v>
      </c>
      <c r="M6" s="7">
        <f t="shared" si="2"/>
        <v>349329.76751339989</v>
      </c>
      <c r="N6" s="30">
        <v>2</v>
      </c>
      <c r="O6" s="7">
        <f t="shared" si="3"/>
        <v>620997.94285200001</v>
      </c>
      <c r="P6" s="9">
        <v>1.5</v>
      </c>
      <c r="Q6" s="7">
        <f t="shared" si="4"/>
        <v>6499554.2667089999</v>
      </c>
      <c r="W6" s="13"/>
    </row>
    <row r="7" spans="2:23" x14ac:dyDescent="0.2">
      <c r="B7" s="14" t="s">
        <v>19</v>
      </c>
      <c r="C7" s="9">
        <v>1.6</v>
      </c>
      <c r="D7" s="32">
        <f t="shared" si="0"/>
        <v>3.4680956799999998</v>
      </c>
      <c r="E7" s="9">
        <v>1.8</v>
      </c>
      <c r="F7" s="7">
        <f t="shared" si="0"/>
        <v>2555.3673119999999</v>
      </c>
      <c r="G7" s="9">
        <v>1.2</v>
      </c>
      <c r="H7" s="32">
        <f t="shared" si="1"/>
        <v>2.2286264</v>
      </c>
      <c r="K7" s="14" t="s">
        <v>19</v>
      </c>
      <c r="L7" s="9">
        <v>1.6</v>
      </c>
      <c r="M7" s="7">
        <f t="shared" si="2"/>
        <v>347236.74601280008</v>
      </c>
      <c r="N7" s="9">
        <v>1.8</v>
      </c>
      <c r="O7" s="7">
        <f t="shared" si="3"/>
        <v>605039.55741600005</v>
      </c>
      <c r="P7" s="9">
        <v>1.2</v>
      </c>
      <c r="Q7" s="7">
        <f t="shared" si="4"/>
        <v>6419440.2280008001</v>
      </c>
      <c r="W7" s="13"/>
    </row>
    <row r="8" spans="2:23" x14ac:dyDescent="0.2">
      <c r="B8" s="14" t="s">
        <v>18</v>
      </c>
      <c r="C8" s="9">
        <v>1.4</v>
      </c>
      <c r="D8" s="32">
        <f t="shared" si="0"/>
        <v>2.8898999999999999</v>
      </c>
      <c r="E8" s="9">
        <v>1.5</v>
      </c>
      <c r="F8" s="7">
        <f t="shared" si="0"/>
        <v>2055.375</v>
      </c>
      <c r="G8" s="9">
        <v>1.1000000000000001</v>
      </c>
      <c r="H8" s="32">
        <f t="shared" si="1"/>
        <v>0.90989999999999993</v>
      </c>
      <c r="K8" s="14" t="s">
        <v>18</v>
      </c>
      <c r="L8" s="9">
        <v>1.4</v>
      </c>
      <c r="M8" s="7">
        <f t="shared" si="2"/>
        <v>346761.636</v>
      </c>
      <c r="N8" s="9">
        <v>1.5</v>
      </c>
      <c r="O8" s="7">
        <f t="shared" si="3"/>
        <v>623270.69700000004</v>
      </c>
      <c r="P8" s="9">
        <v>1.1000000000000001</v>
      </c>
      <c r="Q8" s="7">
        <f t="shared" si="4"/>
        <v>6431189.0726999994</v>
      </c>
      <c r="W8" s="13"/>
    </row>
    <row r="9" spans="2:23" x14ac:dyDescent="0.2">
      <c r="B9" s="14" t="s">
        <v>17</v>
      </c>
      <c r="C9" s="9">
        <v>1.8</v>
      </c>
      <c r="D9" s="32">
        <f t="shared" si="0"/>
        <v>3.6749800000000001</v>
      </c>
      <c r="E9" s="9">
        <v>0.8</v>
      </c>
      <c r="F9" s="7">
        <f t="shared" si="0"/>
        <v>2076.48</v>
      </c>
      <c r="G9" s="9">
        <v>0.9</v>
      </c>
      <c r="H9" s="32">
        <f t="shared" si="1"/>
        <v>0.40359999999999996</v>
      </c>
      <c r="K9" s="14" t="s">
        <v>17</v>
      </c>
      <c r="L9" s="9">
        <v>1.8</v>
      </c>
      <c r="M9" s="7">
        <f t="shared" si="2"/>
        <v>343335.66820000001</v>
      </c>
      <c r="N9" s="9">
        <v>0.8</v>
      </c>
      <c r="O9" s="7">
        <f t="shared" si="3"/>
        <v>615589.93440000003</v>
      </c>
      <c r="P9" s="9">
        <v>0.9</v>
      </c>
      <c r="Q9" s="7">
        <f t="shared" si="4"/>
        <v>6405424.7108999994</v>
      </c>
      <c r="W9" s="13"/>
    </row>
    <row r="10" spans="2:23" x14ac:dyDescent="0.2">
      <c r="B10" s="14" t="s">
        <v>16</v>
      </c>
      <c r="C10" s="9">
        <v>1.9</v>
      </c>
      <c r="D10" s="32">
        <f t="shared" si="0"/>
        <v>4.126949999999999</v>
      </c>
      <c r="E10" s="9">
        <v>0.2</v>
      </c>
      <c r="F10" s="7">
        <f t="shared" si="0"/>
        <v>2414.8200000000002</v>
      </c>
      <c r="G10" s="9">
        <v>0.2</v>
      </c>
      <c r="H10" s="32">
        <f t="shared" si="1"/>
        <v>1.6032000000000002</v>
      </c>
      <c r="K10" s="14" t="s">
        <v>16</v>
      </c>
      <c r="L10" s="9">
        <v>1.9</v>
      </c>
      <c r="M10" s="7">
        <f t="shared" si="2"/>
        <v>343490.43019999994</v>
      </c>
      <c r="N10" s="9">
        <v>0.2</v>
      </c>
      <c r="O10" s="7">
        <f t="shared" si="3"/>
        <v>608821.51260000002</v>
      </c>
      <c r="P10" s="9">
        <v>0.2</v>
      </c>
      <c r="Q10" s="7">
        <f t="shared" si="4"/>
        <v>6403501.7406000001</v>
      </c>
      <c r="W10" s="13"/>
    </row>
    <row r="11" spans="2:23" x14ac:dyDescent="0.2">
      <c r="B11" s="14" t="s">
        <v>15</v>
      </c>
      <c r="C11" s="9">
        <v>2.2000000000000002</v>
      </c>
      <c r="D11" s="32">
        <f>D15*(1+C11/100)</f>
        <v>3.4134799999999998</v>
      </c>
      <c r="E11" s="9">
        <v>-1.6</v>
      </c>
      <c r="F11" s="7">
        <f t="shared" si="0"/>
        <v>2510.1839999999997</v>
      </c>
      <c r="G11" s="9">
        <v>0.1</v>
      </c>
      <c r="H11" s="32">
        <f t="shared" si="1"/>
        <v>2.2021999999999999</v>
      </c>
      <c r="K11" s="14" t="s">
        <v>15</v>
      </c>
      <c r="L11" s="9">
        <v>2.2000000000000002</v>
      </c>
      <c r="M11" s="7">
        <f t="shared" si="2"/>
        <v>341768.45080000005</v>
      </c>
      <c r="N11" s="9">
        <v>-1.6</v>
      </c>
      <c r="O11" s="7">
        <f t="shared" si="3"/>
        <v>594341.41200000001</v>
      </c>
      <c r="P11" s="9">
        <v>0.1</v>
      </c>
      <c r="Q11" s="7">
        <f t="shared" si="4"/>
        <v>6343320.3833999997</v>
      </c>
      <c r="W11" s="13"/>
    </row>
    <row r="12" spans="2:23" x14ac:dyDescent="0.2">
      <c r="B12" s="14" t="s">
        <v>14</v>
      </c>
      <c r="C12" s="9" t="s">
        <v>5</v>
      </c>
      <c r="D12" s="33">
        <v>2.85</v>
      </c>
      <c r="E12" s="9" t="s">
        <v>5</v>
      </c>
      <c r="F12" s="1">
        <v>2025</v>
      </c>
      <c r="G12" s="9" t="s">
        <v>5</v>
      </c>
      <c r="H12" s="33">
        <v>0.9</v>
      </c>
      <c r="K12" s="14" t="s">
        <v>14</v>
      </c>
      <c r="L12" s="9" t="s">
        <v>5</v>
      </c>
      <c r="M12" s="1">
        <v>341974</v>
      </c>
      <c r="N12" s="9" t="s">
        <v>5</v>
      </c>
      <c r="O12" s="1">
        <v>614059.80000000005</v>
      </c>
      <c r="P12" s="9" t="s">
        <v>5</v>
      </c>
      <c r="Q12" s="1">
        <v>6361215.7000000002</v>
      </c>
      <c r="W12" s="13"/>
    </row>
    <row r="13" spans="2:23" x14ac:dyDescent="0.2">
      <c r="B13" s="14" t="s">
        <v>13</v>
      </c>
      <c r="C13" s="9" t="s">
        <v>5</v>
      </c>
      <c r="D13" s="33">
        <v>3.61</v>
      </c>
      <c r="E13" s="9" t="s">
        <v>5</v>
      </c>
      <c r="F13" s="2">
        <v>2060</v>
      </c>
      <c r="G13" s="9" t="s">
        <v>5</v>
      </c>
      <c r="H13" s="34">
        <v>0.4</v>
      </c>
      <c r="K13" s="14" t="s">
        <v>13</v>
      </c>
      <c r="L13" s="9" t="s">
        <v>5</v>
      </c>
      <c r="M13" s="1">
        <v>337264.9</v>
      </c>
      <c r="N13" s="9" t="s">
        <v>5</v>
      </c>
      <c r="O13" s="2">
        <v>610704.30000000005</v>
      </c>
      <c r="P13" s="9" t="s">
        <v>5</v>
      </c>
      <c r="Q13" s="2">
        <v>6348290.0999999996</v>
      </c>
      <c r="W13" s="13"/>
    </row>
    <row r="14" spans="2:23" x14ac:dyDescent="0.2">
      <c r="B14" s="14" t="s">
        <v>12</v>
      </c>
      <c r="C14" s="9" t="s">
        <v>5</v>
      </c>
      <c r="D14" s="33">
        <v>4.05</v>
      </c>
      <c r="E14" s="9" t="s">
        <v>5</v>
      </c>
      <c r="F14" s="2">
        <v>2410</v>
      </c>
      <c r="G14" s="9" t="s">
        <v>5</v>
      </c>
      <c r="H14" s="34">
        <v>1.6</v>
      </c>
      <c r="K14" s="14" t="s">
        <v>12</v>
      </c>
      <c r="L14" s="9" t="s">
        <v>5</v>
      </c>
      <c r="M14" s="1">
        <v>337085.8</v>
      </c>
      <c r="N14" s="9" t="s">
        <v>5</v>
      </c>
      <c r="O14" s="2">
        <v>607606.30000000005</v>
      </c>
      <c r="P14" s="9" t="s">
        <v>5</v>
      </c>
      <c r="Q14" s="2">
        <v>6390720.2999999998</v>
      </c>
      <c r="W14" s="13"/>
    </row>
    <row r="15" spans="2:23" x14ac:dyDescent="0.2">
      <c r="B15" s="14" t="s">
        <v>11</v>
      </c>
      <c r="C15" s="9" t="s">
        <v>5</v>
      </c>
      <c r="D15" s="33">
        <v>3.34</v>
      </c>
      <c r="E15" s="9" t="s">
        <v>5</v>
      </c>
      <c r="F15" s="2">
        <v>2551</v>
      </c>
      <c r="G15" s="9" t="s">
        <v>5</v>
      </c>
      <c r="H15" s="34">
        <v>2.2000000000000002</v>
      </c>
      <c r="K15" s="14" t="s">
        <v>11</v>
      </c>
      <c r="L15" s="9" t="s">
        <v>5</v>
      </c>
      <c r="M15" s="1">
        <v>334411.40000000002</v>
      </c>
      <c r="N15" s="9" t="s">
        <v>5</v>
      </c>
      <c r="O15" s="2">
        <v>604005.5</v>
      </c>
      <c r="P15" s="9" t="s">
        <v>5</v>
      </c>
      <c r="Q15" s="2">
        <v>6336983.4000000004</v>
      </c>
      <c r="W15" s="13"/>
    </row>
    <row r="16" spans="2:23" x14ac:dyDescent="0.2">
      <c r="B16" s="14" t="s">
        <v>10</v>
      </c>
      <c r="C16" s="9" t="s">
        <v>5</v>
      </c>
      <c r="D16" s="33">
        <v>2.56</v>
      </c>
      <c r="E16" s="9" t="s">
        <v>5</v>
      </c>
      <c r="F16" s="2">
        <v>2145</v>
      </c>
      <c r="G16" s="9" t="s">
        <v>5</v>
      </c>
      <c r="H16" s="34">
        <v>1.5</v>
      </c>
      <c r="K16" s="14" t="s">
        <v>10</v>
      </c>
      <c r="L16" s="9" t="s">
        <v>5</v>
      </c>
      <c r="M16" s="1">
        <v>329554.5</v>
      </c>
      <c r="N16" s="9" t="s">
        <v>5</v>
      </c>
      <c r="O16" s="2">
        <v>600215.5</v>
      </c>
      <c r="P16" s="9" t="s">
        <v>5</v>
      </c>
      <c r="Q16" s="2">
        <v>6325216.7999999998</v>
      </c>
      <c r="W16" s="13"/>
    </row>
    <row r="17" spans="2:23" x14ac:dyDescent="0.2">
      <c r="W17" s="13"/>
    </row>
    <row r="18" spans="2:23" x14ac:dyDescent="0.2">
      <c r="W18" s="13"/>
    </row>
    <row r="19" spans="2:23" x14ac:dyDescent="0.2">
      <c r="B19" s="4" t="s">
        <v>22</v>
      </c>
      <c r="W19" s="13"/>
    </row>
    <row r="20" spans="2:23" x14ac:dyDescent="0.2">
      <c r="B20" s="8"/>
      <c r="C20" s="5" t="s">
        <v>9</v>
      </c>
      <c r="D20" s="5" t="s">
        <v>9</v>
      </c>
      <c r="E20" s="5" t="s">
        <v>9</v>
      </c>
      <c r="W20" s="13"/>
    </row>
    <row r="21" spans="2:23" x14ac:dyDescent="0.2">
      <c r="B21" s="6"/>
      <c r="C21" s="6" t="s">
        <v>0</v>
      </c>
      <c r="D21" s="6" t="s">
        <v>1</v>
      </c>
      <c r="E21" s="6" t="s">
        <v>2</v>
      </c>
      <c r="W21" s="13"/>
    </row>
    <row r="22" spans="2:23" x14ac:dyDescent="0.2">
      <c r="B22" s="14" t="s">
        <v>21</v>
      </c>
      <c r="C22">
        <v>-0.92849999999999999</v>
      </c>
      <c r="D22">
        <v>0.6865</v>
      </c>
      <c r="E22">
        <v>17.833500000000001</v>
      </c>
      <c r="W22" s="13"/>
    </row>
    <row r="23" spans="2:23" x14ac:dyDescent="0.2">
      <c r="B23" s="14" t="s">
        <v>20</v>
      </c>
      <c r="C23">
        <v>5.7611999999999997</v>
      </c>
      <c r="D23">
        <v>0.95320000000000005</v>
      </c>
      <c r="E23">
        <v>29.215399999999999</v>
      </c>
      <c r="W23" s="13"/>
    </row>
    <row r="24" spans="2:23" x14ac:dyDescent="0.2">
      <c r="B24" s="14" t="s">
        <v>19</v>
      </c>
      <c r="C24">
        <v>-5.3757000000000001</v>
      </c>
      <c r="D24">
        <v>1.0097</v>
      </c>
      <c r="E24">
        <v>22.539100000000001</v>
      </c>
      <c r="W24" s="13"/>
    </row>
    <row r="25" spans="2:23" x14ac:dyDescent="0.2">
      <c r="B25" s="14" t="s">
        <v>18</v>
      </c>
      <c r="C25">
        <v>10.4542</v>
      </c>
      <c r="D25">
        <v>0.62660000000000005</v>
      </c>
      <c r="E25">
        <v>4.9275000000000002</v>
      </c>
      <c r="W25" s="13"/>
    </row>
    <row r="26" spans="2:23" x14ac:dyDescent="0.2">
      <c r="B26" s="14" t="s">
        <v>17</v>
      </c>
      <c r="C26">
        <v>-1.6964999999999999</v>
      </c>
      <c r="D26">
        <v>0.62660000000000005</v>
      </c>
      <c r="E26">
        <v>19.159199999999998</v>
      </c>
      <c r="W26" s="13"/>
    </row>
    <row r="27" spans="2:23" x14ac:dyDescent="0.2">
      <c r="B27" s="14" t="s">
        <v>16</v>
      </c>
      <c r="C27">
        <v>4.9931999999999999</v>
      </c>
      <c r="D27">
        <v>0.89329999999999998</v>
      </c>
      <c r="E27">
        <v>30.5411</v>
      </c>
      <c r="W27" s="13"/>
    </row>
    <row r="28" spans="2:23" x14ac:dyDescent="0.2">
      <c r="B28" s="14" t="s">
        <v>15</v>
      </c>
      <c r="C28">
        <v>-6.1436999999999999</v>
      </c>
      <c r="D28">
        <v>0.94979999999999998</v>
      </c>
      <c r="E28">
        <v>23.864799999999999</v>
      </c>
      <c r="W28" s="13"/>
    </row>
    <row r="29" spans="2:23" x14ac:dyDescent="0.2">
      <c r="B29" s="14" t="s">
        <v>14</v>
      </c>
      <c r="C29" s="11">
        <v>3.5880000000000001</v>
      </c>
      <c r="D29" s="11">
        <v>-1.0576262469608599</v>
      </c>
      <c r="E29" s="12">
        <v>-46.106699999999996</v>
      </c>
      <c r="W29" s="13"/>
    </row>
    <row r="30" spans="2:23" x14ac:dyDescent="0.2">
      <c r="B30" s="14" t="s">
        <v>13</v>
      </c>
      <c r="C30" s="11">
        <v>15.744999999999999</v>
      </c>
      <c r="D30" s="11">
        <v>-1.185478146106989</v>
      </c>
      <c r="E30" s="12">
        <v>-317.6515</v>
      </c>
      <c r="W30" s="13"/>
    </row>
    <row r="31" spans="2:23" x14ac:dyDescent="0.2">
      <c r="B31" s="14" t="s">
        <v>12</v>
      </c>
      <c r="C31" s="11">
        <v>-7.34</v>
      </c>
      <c r="D31" s="11">
        <v>-1.1681515726396481</v>
      </c>
      <c r="E31" s="12">
        <v>-34.536499999999997</v>
      </c>
      <c r="W31" s="13"/>
    </row>
    <row r="32" spans="2:23" x14ac:dyDescent="0.2">
      <c r="B32" s="14" t="s">
        <v>11</v>
      </c>
      <c r="C32" s="11">
        <v>-40.872999999999998</v>
      </c>
      <c r="D32" s="11">
        <v>-0.99672829693203147</v>
      </c>
      <c r="E32" s="12">
        <v>48.617199999999997</v>
      </c>
      <c r="W32" s="13"/>
    </row>
    <row r="33" spans="2:23" x14ac:dyDescent="0.2">
      <c r="B33" s="14" t="s">
        <v>10</v>
      </c>
      <c r="C33" s="11">
        <v>1.177</v>
      </c>
      <c r="D33" s="11">
        <v>-5.1944695456999863</v>
      </c>
      <c r="E33" s="12">
        <v>4.3031999999999986</v>
      </c>
      <c r="W33" s="13"/>
    </row>
    <row r="34" spans="2:23" x14ac:dyDescent="0.2">
      <c r="W34" s="13"/>
    </row>
    <row r="35" spans="2:23" x14ac:dyDescent="0.2">
      <c r="W35" s="13"/>
    </row>
    <row r="36" spans="2:23" x14ac:dyDescent="0.2">
      <c r="B36" s="4" t="s">
        <v>23</v>
      </c>
      <c r="W36" s="13"/>
    </row>
    <row r="37" spans="2:23" x14ac:dyDescent="0.2">
      <c r="B37" s="8"/>
      <c r="C37" s="5" t="s">
        <v>9</v>
      </c>
      <c r="D37" s="5" t="s">
        <v>9</v>
      </c>
      <c r="E37" s="5" t="s">
        <v>9</v>
      </c>
      <c r="W37" s="13"/>
    </row>
    <row r="38" spans="2:23" x14ac:dyDescent="0.2">
      <c r="B38" s="6"/>
      <c r="C38" s="6" t="s">
        <v>0</v>
      </c>
      <c r="D38" s="6" t="s">
        <v>1</v>
      </c>
      <c r="E38" s="6" t="s">
        <v>2</v>
      </c>
      <c r="W38" s="13"/>
    </row>
    <row r="39" spans="2:23" x14ac:dyDescent="0.2">
      <c r="B39" s="14" t="s">
        <v>21</v>
      </c>
      <c r="C39" s="15">
        <v>2.3329</v>
      </c>
      <c r="D39" s="15">
        <v>1.5241</v>
      </c>
      <c r="E39" s="15">
        <v>32.643099999999997</v>
      </c>
      <c r="W39" s="13"/>
    </row>
    <row r="40" spans="2:23" x14ac:dyDescent="0.2">
      <c r="B40" s="14" t="s">
        <v>20</v>
      </c>
      <c r="C40" s="15">
        <v>0.84970000000000001</v>
      </c>
      <c r="D40" s="15">
        <v>1.4803999999999999</v>
      </c>
      <c r="E40" s="15">
        <v>44.436100000000003</v>
      </c>
      <c r="W40" s="13"/>
    </row>
    <row r="41" spans="2:23" x14ac:dyDescent="0.2">
      <c r="B41" s="14" t="s">
        <v>19</v>
      </c>
      <c r="C41" s="15">
        <v>0.53839999999999999</v>
      </c>
      <c r="D41" s="15">
        <v>1.4091</v>
      </c>
      <c r="E41" s="15">
        <v>41.316699999999997</v>
      </c>
      <c r="W41" s="13"/>
    </row>
    <row r="42" spans="2:23" x14ac:dyDescent="0.2">
      <c r="B42" s="14" t="s">
        <v>18</v>
      </c>
      <c r="C42" s="15">
        <v>1.9545999999999999</v>
      </c>
      <c r="D42" s="15">
        <v>1.4910000000000001</v>
      </c>
      <c r="E42" s="15">
        <v>18.0731</v>
      </c>
      <c r="W42" s="13"/>
    </row>
    <row r="43" spans="2:23" x14ac:dyDescent="0.2">
      <c r="B43" s="14" t="s">
        <v>17</v>
      </c>
      <c r="C43" s="15">
        <v>-0.83069999999999999</v>
      </c>
      <c r="D43" s="15">
        <v>1.1202000000000001</v>
      </c>
      <c r="E43" s="15">
        <v>31.881699999999999</v>
      </c>
      <c r="W43" s="13"/>
    </row>
    <row r="44" spans="2:23" x14ac:dyDescent="0.2">
      <c r="B44" s="14" t="s">
        <v>16</v>
      </c>
      <c r="C44" s="15">
        <v>1.7606999999999999</v>
      </c>
      <c r="D44" s="15">
        <v>0.90569999999999995</v>
      </c>
      <c r="E44" s="15">
        <v>43.0745</v>
      </c>
      <c r="W44" s="13"/>
    </row>
    <row r="45" spans="2:23" x14ac:dyDescent="0.2">
      <c r="B45" s="14" t="s">
        <v>15</v>
      </c>
      <c r="C45" s="15">
        <v>2.8807</v>
      </c>
      <c r="D45" s="15">
        <v>0.59130000000000005</v>
      </c>
      <c r="E45" s="15">
        <v>37.929699999999997</v>
      </c>
      <c r="W45" s="13"/>
    </row>
    <row r="46" spans="2:23" x14ac:dyDescent="0.2">
      <c r="B46" s="14" t="s">
        <v>14</v>
      </c>
      <c r="C46" s="16">
        <v>3.5880000000000001</v>
      </c>
      <c r="D46" s="16">
        <v>-1.0576262469608599</v>
      </c>
      <c r="E46" s="16">
        <v>-46.106699999999996</v>
      </c>
      <c r="W46" s="13"/>
    </row>
    <row r="47" spans="2:23" x14ac:dyDescent="0.2">
      <c r="B47" s="14" t="s">
        <v>13</v>
      </c>
      <c r="C47" s="16">
        <v>15.744999999999999</v>
      </c>
      <c r="D47" s="16">
        <v>-1.185478146106989</v>
      </c>
      <c r="E47" s="16">
        <v>-317.6515</v>
      </c>
      <c r="W47" s="13"/>
    </row>
    <row r="48" spans="2:23" x14ac:dyDescent="0.2">
      <c r="B48" s="14" t="s">
        <v>12</v>
      </c>
      <c r="C48" s="16">
        <v>-7.34</v>
      </c>
      <c r="D48" s="16">
        <v>-1.1681515726396481</v>
      </c>
      <c r="E48" s="16">
        <v>-34.536499999999997</v>
      </c>
      <c r="W48" s="13"/>
    </row>
    <row r="49" spans="1:23" x14ac:dyDescent="0.2">
      <c r="B49" s="14" t="s">
        <v>11</v>
      </c>
      <c r="C49" s="16">
        <v>-40.872999999999998</v>
      </c>
      <c r="D49" s="16">
        <v>-0.99672829693203147</v>
      </c>
      <c r="E49" s="16">
        <v>48.617199999999997</v>
      </c>
      <c r="W49" s="13"/>
    </row>
    <row r="50" spans="1:23" x14ac:dyDescent="0.2">
      <c r="B50" s="14" t="s">
        <v>10</v>
      </c>
      <c r="C50" s="16">
        <v>1.177</v>
      </c>
      <c r="D50" s="16">
        <v>-5.1944695456999863</v>
      </c>
      <c r="E50" s="16">
        <v>4.3031999999999986</v>
      </c>
      <c r="W50" s="13"/>
    </row>
    <row r="51" spans="1:23" x14ac:dyDescent="0.2">
      <c r="W51" s="13"/>
    </row>
    <row r="52" spans="1:23" x14ac:dyDescent="0.2">
      <c r="W52" s="13"/>
    </row>
    <row r="53" spans="1:23" x14ac:dyDescent="0.2">
      <c r="B53" s="19" t="s">
        <v>36</v>
      </c>
      <c r="W53" s="13"/>
    </row>
    <row r="54" spans="1:23" x14ac:dyDescent="0.2">
      <c r="B54" s="29" t="s">
        <v>0</v>
      </c>
      <c r="C54" s="29"/>
      <c r="D54" s="29"/>
      <c r="E54" s="29"/>
      <c r="G54" s="29" t="s">
        <v>1</v>
      </c>
      <c r="H54" s="29"/>
      <c r="I54" s="29"/>
      <c r="J54" s="29"/>
      <c r="L54" s="29" t="s">
        <v>2</v>
      </c>
      <c r="M54" s="29"/>
      <c r="N54" s="29"/>
      <c r="O54" s="29"/>
      <c r="W54" s="13"/>
    </row>
    <row r="55" spans="1:23" x14ac:dyDescent="0.2">
      <c r="B55" s="17" t="s">
        <v>25</v>
      </c>
      <c r="C55" s="18" t="s">
        <v>26</v>
      </c>
      <c r="D55" s="18" t="s">
        <v>27</v>
      </c>
      <c r="E55" s="18" t="s">
        <v>24</v>
      </c>
      <c r="G55" s="17" t="s">
        <v>25</v>
      </c>
      <c r="H55" s="18" t="s">
        <v>26</v>
      </c>
      <c r="I55" s="18" t="s">
        <v>27</v>
      </c>
      <c r="J55" s="18" t="s">
        <v>24</v>
      </c>
      <c r="L55" s="17" t="s">
        <v>25</v>
      </c>
      <c r="M55" s="18" t="s">
        <v>26</v>
      </c>
      <c r="N55" s="18" t="s">
        <v>27</v>
      </c>
      <c r="O55" s="18" t="s">
        <v>24</v>
      </c>
      <c r="W55" s="13"/>
    </row>
    <row r="56" spans="1:23" x14ac:dyDescent="0.2">
      <c r="B56" s="3" t="s">
        <v>28</v>
      </c>
      <c r="C56" s="3">
        <v>0.79</v>
      </c>
      <c r="D56" s="3">
        <v>10.06</v>
      </c>
      <c r="E56" t="s">
        <v>34</v>
      </c>
      <c r="G56" s="3" t="s">
        <v>28</v>
      </c>
      <c r="H56" s="3">
        <v>-0.08</v>
      </c>
      <c r="I56" s="3">
        <v>2.75</v>
      </c>
      <c r="J56" t="s">
        <v>35</v>
      </c>
      <c r="L56" s="3" t="s">
        <v>28</v>
      </c>
      <c r="M56" s="3">
        <v>40.07</v>
      </c>
      <c r="N56" s="3">
        <v>75.53</v>
      </c>
      <c r="O56" t="s">
        <v>32</v>
      </c>
      <c r="W56" s="13"/>
    </row>
    <row r="57" spans="1:23" x14ac:dyDescent="0.2">
      <c r="B57" s="3" t="s">
        <v>29</v>
      </c>
      <c r="C57" s="3">
        <v>-10.96</v>
      </c>
      <c r="D57" s="3">
        <v>38.840000000000003</v>
      </c>
      <c r="E57" t="s">
        <v>33</v>
      </c>
      <c r="G57" s="3" t="s">
        <v>29</v>
      </c>
      <c r="H57" s="3">
        <v>-0.04</v>
      </c>
      <c r="I57" s="3">
        <v>4.47</v>
      </c>
      <c r="J57" t="s">
        <v>35</v>
      </c>
      <c r="L57" s="3" t="s">
        <v>29</v>
      </c>
      <c r="M57" s="3">
        <v>47.17</v>
      </c>
      <c r="N57" s="3">
        <v>82.69</v>
      </c>
      <c r="O57" t="s">
        <v>32</v>
      </c>
      <c r="W57" s="13"/>
    </row>
    <row r="58" spans="1:23" x14ac:dyDescent="0.2">
      <c r="B58" s="3" t="s">
        <v>30</v>
      </c>
      <c r="C58" s="3">
        <v>-4.32</v>
      </c>
      <c r="D58" s="3">
        <v>17.329999999999998</v>
      </c>
      <c r="E58" t="s">
        <v>31</v>
      </c>
      <c r="G58" s="3" t="s">
        <v>30</v>
      </c>
      <c r="H58" s="3">
        <v>0.23</v>
      </c>
      <c r="I58" s="3">
        <v>3.06</v>
      </c>
      <c r="J58" t="s">
        <v>34</v>
      </c>
      <c r="L58" s="3" t="s">
        <v>30</v>
      </c>
      <c r="M58" s="3">
        <v>41.29</v>
      </c>
      <c r="N58" s="3">
        <v>107.58</v>
      </c>
      <c r="O58" t="s">
        <v>32</v>
      </c>
      <c r="W58" s="13"/>
    </row>
    <row r="59" spans="1:23" x14ac:dyDescent="0.2">
      <c r="B59" s="3" t="s">
        <v>3</v>
      </c>
      <c r="C59" s="3">
        <v>-15.44</v>
      </c>
      <c r="D59" s="3">
        <v>31.46</v>
      </c>
      <c r="E59" t="s">
        <v>33</v>
      </c>
      <c r="G59" s="3" t="s">
        <v>3</v>
      </c>
      <c r="H59" s="3">
        <v>0.28000000000000003</v>
      </c>
      <c r="I59" s="20">
        <v>2.5</v>
      </c>
      <c r="J59" t="s">
        <v>34</v>
      </c>
      <c r="L59" s="3" t="s">
        <v>3</v>
      </c>
      <c r="M59" s="3">
        <v>-32.89</v>
      </c>
      <c r="N59" s="3">
        <v>130.11000000000001</v>
      </c>
      <c r="O59" t="s">
        <v>33</v>
      </c>
      <c r="W59" s="13"/>
    </row>
    <row r="60" spans="1:23" x14ac:dyDescent="0.2">
      <c r="W60" s="13"/>
    </row>
    <row r="61" spans="1:23" x14ac:dyDescent="0.2">
      <c r="W61" s="13"/>
    </row>
    <row r="62" spans="1:23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</sheetData>
  <mergeCells count="3">
    <mergeCell ref="B54:E54"/>
    <mergeCell ref="G54:J54"/>
    <mergeCell ref="L54:O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27C9-7DAC-694F-874A-99EBC6E39311}">
  <dimension ref="B1:I16"/>
  <sheetViews>
    <sheetView showGridLines="0" zoomScale="150" workbookViewId="0">
      <selection activeCell="E12" sqref="E12"/>
    </sheetView>
  </sheetViews>
  <sheetFormatPr baseColWidth="10" defaultRowHeight="16" x14ac:dyDescent="0.2"/>
  <cols>
    <col min="1" max="1" width="3.5" customWidth="1"/>
    <col min="2" max="2" width="3" customWidth="1"/>
    <col min="3" max="3" width="29.1640625" customWidth="1"/>
    <col min="4" max="4" width="8.33203125" bestFit="1" customWidth="1"/>
    <col min="5" max="5" width="12.5" customWidth="1"/>
    <col min="6" max="6" width="41" customWidth="1"/>
    <col min="7" max="7" width="8.33203125" bestFit="1" customWidth="1"/>
    <col min="8" max="8" width="27.6640625" hidden="1" customWidth="1"/>
  </cols>
  <sheetData>
    <row r="1" spans="2:9" x14ac:dyDescent="0.2">
      <c r="D1" s="21"/>
      <c r="E1" s="21"/>
    </row>
    <row r="2" spans="2:9" x14ac:dyDescent="0.2">
      <c r="D2" s="21"/>
      <c r="E2" s="21"/>
    </row>
    <row r="3" spans="2:9" x14ac:dyDescent="0.2">
      <c r="B3" s="25" t="s">
        <v>0</v>
      </c>
      <c r="C3" s="23"/>
      <c r="D3" s="21"/>
      <c r="E3" s="21"/>
      <c r="F3" s="23"/>
      <c r="H3" s="23" t="s">
        <v>37</v>
      </c>
    </row>
    <row r="4" spans="2:9" x14ac:dyDescent="0.2">
      <c r="C4" s="26" t="s">
        <v>50</v>
      </c>
      <c r="D4" s="27">
        <v>0</v>
      </c>
      <c r="E4" s="27"/>
      <c r="F4" t="s">
        <v>47</v>
      </c>
      <c r="G4" s="24" t="s">
        <v>46</v>
      </c>
    </row>
    <row r="5" spans="2:9" x14ac:dyDescent="0.2">
      <c r="C5" s="26" t="s">
        <v>51</v>
      </c>
      <c r="D5" s="27">
        <v>34.5</v>
      </c>
      <c r="E5" s="27"/>
      <c r="F5" t="s">
        <v>43</v>
      </c>
      <c r="G5" s="24" t="s">
        <v>44</v>
      </c>
      <c r="I5" s="24" t="s">
        <v>45</v>
      </c>
    </row>
    <row r="6" spans="2:9" x14ac:dyDescent="0.2">
      <c r="B6" s="4" t="s">
        <v>1</v>
      </c>
      <c r="D6" s="21"/>
      <c r="E6" s="21"/>
    </row>
    <row r="7" spans="2:9" x14ac:dyDescent="0.2">
      <c r="C7" s="26" t="s">
        <v>50</v>
      </c>
      <c r="D7" s="27">
        <f>-46+48.4</f>
        <v>2.3999999999999986</v>
      </c>
      <c r="E7" s="27"/>
      <c r="G7" s="24" t="s">
        <v>49</v>
      </c>
      <c r="I7" s="24" t="s">
        <v>38</v>
      </c>
    </row>
    <row r="8" spans="2:9" x14ac:dyDescent="0.2">
      <c r="C8" s="26" t="s">
        <v>51</v>
      </c>
      <c r="D8" s="27">
        <f>-35+49.1</f>
        <v>14.100000000000001</v>
      </c>
      <c r="E8" s="27"/>
      <c r="G8" s="24" t="s">
        <v>48</v>
      </c>
    </row>
    <row r="9" spans="2:9" x14ac:dyDescent="0.2">
      <c r="B9" s="4" t="s">
        <v>2</v>
      </c>
      <c r="D9" s="21"/>
      <c r="E9" s="21"/>
    </row>
    <row r="10" spans="2:9" x14ac:dyDescent="0.2">
      <c r="C10" s="26" t="s">
        <v>50</v>
      </c>
      <c r="D10" s="28">
        <v>192</v>
      </c>
      <c r="E10" s="28"/>
      <c r="F10" t="s">
        <v>40</v>
      </c>
      <c r="G10" s="24" t="s">
        <v>41</v>
      </c>
    </row>
    <row r="11" spans="2:9" x14ac:dyDescent="0.2">
      <c r="C11" s="26" t="s">
        <v>51</v>
      </c>
      <c r="D11" s="28">
        <v>160</v>
      </c>
      <c r="E11" s="28">
        <v>160.01</v>
      </c>
      <c r="F11" t="s">
        <v>42</v>
      </c>
      <c r="G11" s="24" t="s">
        <v>39</v>
      </c>
    </row>
    <row r="12" spans="2:9" x14ac:dyDescent="0.2">
      <c r="D12" s="22"/>
      <c r="E12" s="22"/>
    </row>
    <row r="13" spans="2:9" x14ac:dyDescent="0.2">
      <c r="D13" s="22"/>
      <c r="E13" s="22"/>
    </row>
    <row r="14" spans="2:9" x14ac:dyDescent="0.2">
      <c r="C14" t="s">
        <v>52</v>
      </c>
      <c r="D14" s="22"/>
      <c r="E14" s="22"/>
    </row>
    <row r="15" spans="2:9" x14ac:dyDescent="0.2">
      <c r="C15" t="s">
        <v>53</v>
      </c>
      <c r="D15" s="22"/>
      <c r="E15" s="22"/>
      <c r="G15" s="22"/>
    </row>
    <row r="16" spans="2:9" x14ac:dyDescent="0.2">
      <c r="C16" t="s">
        <v>54</v>
      </c>
      <c r="D16" s="22"/>
      <c r="E16" s="22"/>
      <c r="G16" s="22"/>
    </row>
  </sheetData>
  <hyperlinks>
    <hyperlink ref="G10" r:id="rId1" xr:uid="{34544961-5974-DF40-865F-E92AEE622BCA}"/>
    <hyperlink ref="G11" r:id="rId2" xr:uid="{F69C7A47-C229-CF4D-8029-B87C83BC9D0A}"/>
    <hyperlink ref="G5" r:id="rId3" xr:uid="{070C0A74-DEAA-7648-BB3E-9BEA084069B1}"/>
    <hyperlink ref="I5" r:id="rId4" xr:uid="{92DED1B5-6A54-9849-B929-D6C58797A20B}"/>
    <hyperlink ref="G4" r:id="rId5" xr:uid="{D7562E2D-7B7C-2645-ABD9-E1811DD2B5DD}"/>
    <hyperlink ref="G8" r:id="rId6" xr:uid="{04534902-EB29-534E-8B46-F274240F60A4}"/>
    <hyperlink ref="G7" r:id="rId7" xr:uid="{E21C0121-1779-1944-AA42-7AD94BCE7564}"/>
    <hyperlink ref="I7" r:id="rId8" xr:uid="{CDFE5DCF-F484-D34A-AF48-C1D06F1A8F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Targeted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PUTRI VIDIANTIWI</dc:creator>
  <cp:lastModifiedBy>AYU PUTRI VIDIANTIWI</cp:lastModifiedBy>
  <dcterms:created xsi:type="dcterms:W3CDTF">2025-09-04T18:16:02Z</dcterms:created>
  <dcterms:modified xsi:type="dcterms:W3CDTF">2025-09-08T17:57:11Z</dcterms:modified>
</cp:coreProperties>
</file>